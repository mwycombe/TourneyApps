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ourney_Clean_April_Actual\YB PrelimReg\"/>
    </mc:Choice>
  </mc:AlternateContent>
  <xr:revisionPtr revIDLastSave="0" documentId="13_ncr:1_{C62ED5A2-8283-4C24-A433-DCB9E50859EC}" xr6:coauthVersionLast="47" xr6:coauthVersionMax="47" xr10:uidLastSave="{00000000-0000-0000-0000-000000000000}"/>
  <bookViews>
    <workbookView xWindow="-28395" yWindow="540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Entries!$A$10:$U$68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O89" i="1" s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1" i="1"/>
  <c r="O82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<sst xmlns="http://schemas.openxmlformats.org/spreadsheetml/2006/main" count="1024" uniqueCount="773">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</sst>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Fill="1" applyBorder="1" applyAlignment="1" applyProtection="1"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1" fillId="0" borderId="1" xfId="1" applyBorder="1" applyAlignment="1" applyProtection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 x14ac:dyDescent="0.3"/>
    <row r="7" spans="1:8" ht="16.5" thickBot="1" x14ac:dyDescent="0.3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2" t="s">
        <v>574</v>
      </c>
      <c r="D2" s="133"/>
      <c r="E2" s="133"/>
      <c r="F2" s="133"/>
      <c r="G2" s="134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 x14ac:dyDescent="0.25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 x14ac:dyDescent="0.25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5" t="s">
        <v>575</v>
      </c>
      <c r="D15" s="135"/>
      <c r="E15" s="135"/>
      <c r="F15" s="135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56" activePane="bottomRight" state="frozen"/>
      <selection pane="topRight" activeCell="B1" sqref="B1"/>
      <selection pane="bottomLeft" activeCell="A2" sqref="A2"/>
      <selection pane="bottomRight" activeCell="G5" sqref="G5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21" t="str">
        <f>Tourney!$C$3</f>
        <v>Napa Wine Country Open</v>
      </c>
      <c r="L2" s="121"/>
      <c r="M2" s="121"/>
      <c r="N2" s="121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21" t="str">
        <f>Tourney!$C$5</f>
        <v>The Moose Lodge</v>
      </c>
      <c r="L3" s="121"/>
      <c r="M3" s="121"/>
      <c r="N3" s="121"/>
    </row>
    <row r="4" spans="1:25" ht="16.5" customHeight="1" x14ac:dyDescent="0.25">
      <c r="A4" s="10"/>
      <c r="H4" s="12" t="s">
        <v>567</v>
      </c>
      <c r="I4" s="12"/>
      <c r="K4" s="121" t="str">
        <f>Tourney!$C$7</f>
        <v>Napa, Ca, 94558</v>
      </c>
      <c r="L4" s="121"/>
      <c r="M4" s="121"/>
      <c r="N4" s="121"/>
    </row>
    <row r="5" spans="1:25" ht="16.5" customHeight="1" x14ac:dyDescent="0.25">
      <c r="A5" s="10"/>
      <c r="H5" s="12" t="s">
        <v>559</v>
      </c>
      <c r="I5" s="12"/>
      <c r="K5" s="122">
        <f>Tourney!$C$9</f>
        <v>46130</v>
      </c>
      <c r="L5" s="122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3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6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7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160</v>
      </c>
      <c r="S16" s="89" t="str">
        <f t="shared" si="4"/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160</v>
      </c>
      <c r="S17" s="89" t="str">
        <f t="shared" si="4"/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160</v>
      </c>
      <c r="S18" s="89" t="str">
        <f t="shared" si="4"/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20" t="s">
        <v>746</v>
      </c>
      <c r="H20" s="8">
        <v>1</v>
      </c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20" t="s">
        <v>766</v>
      </c>
      <c r="H21" s="8">
        <v>1</v>
      </c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160</v>
      </c>
      <c r="S22" s="89" t="str">
        <f t="shared" si="4"/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80</v>
      </c>
      <c r="S23" s="89" t="str">
        <f t="shared" si="4"/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70</v>
      </c>
      <c r="S24" s="89" t="str">
        <f t="shared" si="4"/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7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110</v>
      </c>
      <c r="S26" s="89" t="str">
        <f t="shared" si="4"/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 t="shared" si="2"/>
        <v>100</v>
      </c>
      <c r="P27" s="9" t="s">
        <v>724</v>
      </c>
      <c r="Q27" s="9"/>
      <c r="R27" s="89" t="str">
        <f t="shared" si="3"/>
        <v/>
      </c>
      <c r="S27" s="89">
        <f t="shared" si="4"/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 t="shared" si="2"/>
        <v>160</v>
      </c>
      <c r="P28" s="9"/>
      <c r="Q28" s="9"/>
      <c r="R28" s="89" t="str">
        <f t="shared" si="3"/>
        <v/>
      </c>
      <c r="S28" s="89">
        <f t="shared" si="4"/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 t="shared" si="2"/>
        <v>160</v>
      </c>
      <c r="P31" s="9"/>
      <c r="Q31" s="9"/>
      <c r="R31" s="89" t="str">
        <f t="shared" si="3"/>
        <v/>
      </c>
      <c r="S31" s="89">
        <f t="shared" si="4"/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>
        <v>1</v>
      </c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80</v>
      </c>
      <c r="S33" s="89" t="str">
        <f t="shared" si="4"/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110</v>
      </c>
      <c r="S34" s="89" t="str">
        <f t="shared" si="4"/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80</v>
      </c>
      <c r="S35" s="89" t="str">
        <f t="shared" si="4"/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 t="shared" si="2"/>
        <v>160</v>
      </c>
      <c r="P36" s="9"/>
      <c r="Q36" s="9"/>
      <c r="R36" s="89" t="str">
        <f t="shared" si="3"/>
        <v/>
      </c>
      <c r="S36" s="89">
        <f t="shared" si="4"/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 t="shared" si="2"/>
        <v>70</v>
      </c>
      <c r="P38" s="9"/>
      <c r="Q38" s="9"/>
      <c r="R38" s="89" t="str">
        <f t="shared" si="3"/>
        <v/>
      </c>
      <c r="S38" s="89">
        <f t="shared" si="4"/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 t="shared" si="2"/>
        <v>80</v>
      </c>
      <c r="P39" s="9"/>
      <c r="Q39" s="9"/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 t="shared" si="2"/>
        <v>100</v>
      </c>
      <c r="P40" s="9"/>
      <c r="Q40" s="9"/>
      <c r="R40" s="89" t="str">
        <f t="shared" si="3"/>
        <v/>
      </c>
      <c r="S40" s="89">
        <f t="shared" si="4"/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70</v>
      </c>
      <c r="S41" s="89" t="str">
        <f t="shared" si="4"/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160</v>
      </c>
      <c r="S43" s="89" t="str">
        <f t="shared" si="4"/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 t="shared" ref="O44:O75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160</v>
      </c>
      <c r="S45" s="89" t="str">
        <f t="shared" si="7"/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 t="shared" si="5"/>
        <v>110</v>
      </c>
      <c r="P47" s="9"/>
      <c r="Q47" s="9"/>
      <c r="R47" s="89" t="str">
        <f t="shared" si="6"/>
        <v/>
      </c>
      <c r="S47" s="89">
        <f t="shared" si="7"/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 t="shared" si="5"/>
        <v>100</v>
      </c>
      <c r="P48" s="9"/>
      <c r="Q48" s="9"/>
      <c r="R48" s="89" t="str">
        <f t="shared" si="6"/>
        <v/>
      </c>
      <c r="S48" s="89">
        <f t="shared" si="7"/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110</v>
      </c>
      <c r="S49" s="89" t="str">
        <f t="shared" si="7"/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70</v>
      </c>
      <c r="S50" s="89" t="str">
        <f t="shared" si="7"/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160</v>
      </c>
      <c r="S51" s="89" t="str">
        <f t="shared" si="7"/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80</v>
      </c>
      <c r="S52" s="89" t="str">
        <f t="shared" si="7"/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100</v>
      </c>
      <c r="S53" s="89" t="str">
        <f t="shared" si="7"/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160</v>
      </c>
      <c r="S54" s="89" t="str">
        <f t="shared" si="7"/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18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160</v>
      </c>
      <c r="S55" s="89" t="str">
        <f t="shared" si="7"/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160</v>
      </c>
      <c r="S56" s="89" t="str">
        <f t="shared" si="7"/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160</v>
      </c>
      <c r="S57" s="89" t="str">
        <f t="shared" si="7"/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 t="shared" si="5"/>
        <v>110</v>
      </c>
      <c r="P58" s="9" t="s">
        <v>724</v>
      </c>
      <c r="Q58" s="9"/>
      <c r="R58" s="89" t="str">
        <f t="shared" si="6"/>
        <v/>
      </c>
      <c r="S58" s="89">
        <f t="shared" si="7"/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19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110</v>
      </c>
      <c r="S62" s="89" t="str">
        <f t="shared" si="7"/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80</v>
      </c>
      <c r="S63" s="89" t="str">
        <f t="shared" si="7"/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80</v>
      </c>
      <c r="S64" s="89" t="str">
        <f t="shared" si="7"/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1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70</v>
      </c>
      <c r="S65" s="89" t="str">
        <f t="shared" si="7"/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18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160</v>
      </c>
      <c r="S66" s="89" t="str">
        <f t="shared" si="7"/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100</v>
      </c>
      <c r="S67" s="89" t="str">
        <f t="shared" si="7"/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110</v>
      </c>
      <c r="S68" s="89" t="str">
        <f t="shared" si="7"/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 t="shared" si="6"/>
        <v/>
      </c>
      <c r="S69" s="89" t="str">
        <f t="shared" si="7"/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71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 t="shared" ref="O70:O101" si="8">T70*N70</f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 t="shared" si="8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 t="shared" si="8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 t="shared" si="8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 t="shared" si="8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700</v>
      </c>
      <c r="D88" s="6" t="s">
        <v>46</v>
      </c>
      <c r="E88" s="7" t="s">
        <v>701</v>
      </c>
      <c r="F88" s="11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si="8"/>
        <v>0</v>
      </c>
      <c r="P89" s="9"/>
      <c r="Q89" s="9"/>
      <c r="R89" s="89" t="str">
        <f t="shared" si="9"/>
        <v/>
      </c>
      <c r="S89" s="89" t="str">
        <f t="shared" si="10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8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8"/>
        <v>0</v>
      </c>
      <c r="P93" s="9"/>
      <c r="Q93" s="9"/>
      <c r="R93" s="89" t="str">
        <f t="shared" si="9"/>
        <v/>
      </c>
      <c r="S93" s="89" t="str">
        <f t="shared" si="10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ref="O102:O133" si="12">T102*N102</f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9"/>
        <v/>
      </c>
      <c r="S105" s="89" t="str">
        <f t="shared" si="10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8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9"/>
        <v/>
      </c>
      <c r="S107" s="89" t="str">
        <f t="shared" si="10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2"/>
        <v>0</v>
      </c>
      <c r="P128" s="9"/>
      <c r="Q128" s="9"/>
      <c r="R128" s="89" t="str">
        <f t="shared" si="13"/>
        <v/>
      </c>
      <c r="S128" s="89" t="str">
        <f t="shared" si="14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2"/>
        <v>0</v>
      </c>
      <c r="P129" s="9"/>
      <c r="Q129" s="9"/>
      <c r="R129" s="89" t="str">
        <f t="shared" si="13"/>
        <v/>
      </c>
      <c r="S129" s="89" t="str">
        <f t="shared" si="14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2"/>
        <v>0</v>
      </c>
      <c r="P132" s="9"/>
      <c r="Q132" s="9"/>
      <c r="R132" s="89" t="str">
        <f t="shared" si="13"/>
        <v/>
      </c>
      <c r="S132" s="89" t="str">
        <f t="shared" si="14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2"/>
        <v>0</v>
      </c>
      <c r="P133" s="9"/>
      <c r="Q133" s="9"/>
      <c r="R133" s="89" t="str">
        <f t="shared" si="13"/>
        <v/>
      </c>
      <c r="S133" s="89" t="str">
        <f t="shared" si="14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ref="O134:O165" si="15">T134*N134</f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3"/>
        <v/>
      </c>
      <c r="S136" s="89" t="str">
        <f t="shared" si="14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3"/>
        <v/>
      </c>
      <c r="S137" s="89" t="str">
        <f t="shared" si="14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7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5"/>
        <v>0</v>
      </c>
      <c r="P157" s="9"/>
      <c r="Q157" s="9"/>
      <c r="R157" s="89" t="str">
        <f t="shared" si="16"/>
        <v/>
      </c>
      <c r="S157" s="89" t="str">
        <f t="shared" si="17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5"/>
        <v>0</v>
      </c>
      <c r="P160" s="9"/>
      <c r="Q160" s="9"/>
      <c r="R160" s="89" t="str">
        <f t="shared" si="16"/>
        <v/>
      </c>
      <c r="S160" s="89" t="str">
        <f t="shared" si="17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5"/>
        <v>0</v>
      </c>
      <c r="P163" s="9"/>
      <c r="Q163" s="9"/>
      <c r="R163" s="89" t="str">
        <f t="shared" si="16"/>
        <v/>
      </c>
      <c r="S163" s="89" t="str">
        <f t="shared" si="17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5"/>
        <v>0</v>
      </c>
      <c r="P164" s="9"/>
      <c r="Q164" s="9"/>
      <c r="R164" s="89" t="str">
        <f t="shared" si="16"/>
        <v/>
      </c>
      <c r="S164" s="89" t="str">
        <f t="shared" si="17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ref="O166:O197" si="19">T166*N166</f>
        <v>0</v>
      </c>
      <c r="P166" s="9"/>
      <c r="Q166" s="9"/>
      <c r="R166" s="89" t="str">
        <f t="shared" si="16"/>
        <v/>
      </c>
      <c r="S166" s="89" t="str">
        <f t="shared" si="17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16"/>
        <v/>
      </c>
      <c r="S169" s="89" t="str">
        <f t="shared" si="17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16"/>
        <v/>
      </c>
      <c r="S170" s="89" t="str">
        <f t="shared" si="17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19"/>
        <v>0</v>
      </c>
      <c r="P187" s="9"/>
      <c r="Q187" s="9"/>
      <c r="R187" s="89" t="str">
        <f t="shared" si="20"/>
        <v/>
      </c>
      <c r="S187" s="89" t="str">
        <f t="shared" si="21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19"/>
        <v>0</v>
      </c>
      <c r="P188" s="9"/>
      <c r="Q188" s="9"/>
      <c r="R188" s="89" t="str">
        <f t="shared" si="20"/>
        <v/>
      </c>
      <c r="S188" s="89" t="str">
        <f t="shared" si="21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19"/>
        <v>0</v>
      </c>
      <c r="P192" s="9"/>
      <c r="Q192" s="9"/>
      <c r="R192" s="89" t="str">
        <f t="shared" si="20"/>
        <v/>
      </c>
      <c r="S192" s="89" t="str">
        <f t="shared" si="21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/>
      <c r="Q197" s="9"/>
      <c r="R197" s="89" t="str">
        <f t="shared" si="20"/>
        <v/>
      </c>
      <c r="S197" s="89" t="str">
        <f t="shared" si="21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ref="O198:O229" si="22">T198*N198</f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ref="R204:R210" si="23">IF(OR(P204="c",P204="C"),+T204,"")</f>
        <v/>
      </c>
      <c r="S204" s="89" t="str">
        <f t="shared" ref="S204:S235" si="24"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3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2026-04-21T20:35:37Z</cp:lastPrinted>
  <dcterms:created xsi:type="dcterms:W3CDTF">2014-07-30T14:06:58Z</dcterms:created>
  <dcterms:modified xsi:type="dcterms:W3CDTF">2026-04-21T21:08:59Z</dcterms:modified>
</cp:coreProperties>
</file>